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aixa-my.sharepoint.com/personal/c123985_corp_caixa_gov_br/Documents/Cursos e Aprendizado/Bootcamp CAIXA 24_25/"/>
    </mc:Choice>
  </mc:AlternateContent>
  <xr:revisionPtr revIDLastSave="594" documentId="8_{8E694F9A-6B7B-4964-B950-1CB4AAA5EC00}" xr6:coauthVersionLast="47" xr6:coauthVersionMax="47" xr10:uidLastSave="{1C7627FB-AD21-4E07-A933-7D7F88480ADD}"/>
  <bookViews>
    <workbookView xWindow="-120" yWindow="-120" windowWidth="20730" windowHeight="11040" firstSheet="3" activeTab="3" xr2:uid="{9797B3C0-B36F-41E7-97F4-9B438D213AB6}"/>
  </bookViews>
  <sheets>
    <sheet name="Data" sheetId="1" state="hidden" r:id="rId1"/>
    <sheet name="Controller" sheetId="4" state="hidden" r:id="rId2"/>
    <sheet name="Caixinha" sheetId="6" state="hidden" r:id="rId3"/>
    <sheet name="Dashboard" sheetId="5" r:id="rId4"/>
  </sheets>
  <definedNames>
    <definedName name="SegmentaçãodeDados_Mê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<sst xmlns="http://schemas.openxmlformats.org/spreadsheetml/2006/main" count="260" uniqueCount="81">
  <si>
    <t>Data</t>
  </si>
  <si>
    <t>Tipo</t>
  </si>
  <si>
    <t>Categoria</t>
  </si>
  <si>
    <t>Descrição</t>
  </si>
  <si>
    <t>Valor</t>
  </si>
  <si>
    <t xml:space="preserve">Operação bancária </t>
  </si>
  <si>
    <t>Status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</si>
  <si>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</si>
  <si>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</si>
  <si>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</si>
  <si>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</si>
  <si>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</si>
  <si>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</si>
  <si>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</si>
  <si>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</si>
  <si>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</si>
  <si>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</si>
  <si>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</si>
  <si>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</si>
  <si>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</si>
  <si>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</si>
  <si>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</si>
  <si>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</si>
  <si>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</si>
  <si>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</si>
  <si>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</si>
  <si>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</si>
  <si>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</si>
  <si>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</si>
  <si>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</si>
  <si>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</si>
  <si>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</si>
  <si>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</si>
  <si>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</si>
  <si>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</si>
  <si>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</si>
  <si>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</si>
  <si>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</si>
  <si>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</si>
  <si>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</si>
  <si>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</si>
  <si>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</si>
  <si>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</si>
  <si>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</si>
  <si>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</si>
  <si>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</si>
  <si>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</si>
  <si>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</si>
  <si>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</si>
  <si>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</si>
  <si>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</si>
  <si>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</si>
  <si>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</si>
  <si>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</si>
  <si>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</si>
  <si>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</si>
  <si>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</si>
  <si>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</si>
  <si>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</si>
  <si>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</si>
  <si>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</si>
  <si>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</si>
  <si>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</si>
  <si>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</si>
  <si>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</si>
  <si>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</si>
  <si>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</si>
  <si>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</si>
  <si>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</si>
  <si>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</si>
  <si>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</si>
  <si>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</si>
  <si>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(Tudo)</t>
  </si>
  <si>
    <t>Rótulos de Linha</t>
  </si>
  <si>
    <t>Total Geral</t>
  </si>
  <si>
    <t>Soma de Valor</t>
  </si>
  <si>
    <t>Mês</t>
  </si>
  <si>
    <t>Data lançamento</t>
  </si>
  <si>
    <t>Depósito reservado</t>
  </si>
  <si>
    <t>Total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</si>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</sst>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1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 wrapText="1"/>
    </xf>
    <xf numFmtId="0" fontId="0" fillId="3" borderId="0" xfId="0" applyFill="1"/>
    <xf numFmtId="164" fontId="0" fillId="3" borderId="0" xfId="0" applyNumberFormat="1" applyFill="1"/>
  </cellXfs>
  <cellStyles count="2">
    <cellStyle name="Moeda" xfId="1" builtinId="4"/>
    <cellStyle name="Normal" xfId="0" builtinId="0"/>
  </cellStyles>
  <dxfs count="8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" formatCode="0"/>
    </dxf>
    <dxf>
      <font>
        <b/>
        <color theme="1"/>
      </font>
      <fill>
        <patternFill>
          <bgColor theme="0"/>
        </patternFill>
      </fill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8" tint="0.3999450666829432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Mystyle" pivot="0" table="0" count="10" xr9:uid="{7AA0BF62-2600-444B-B2D1-FD36A516B51F}">
      <tableStyleElement type="wholeTable" dxfId="7"/>
      <tableStyleElement type="headerRow" dxfId="6"/>
    </tableStyle>
  </tableStyles>
  <colors>
    <mruColors>
      <color rgb="FF4472C4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0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2" tint="-0.74996185186315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ysty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[Planilhas_DIO.xlsx]Controller!Tabela dinâmica1</c:name>
    <c:fmtId val="2"/>
  </c:pivotSource>
  <c:chart>
    <c:autoTitleDeleted val="1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Controller!$A$4:$A$20</c:f>
              <c:strCache>
                <c:ptCount val="16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Renda Fixa</c:v>
                </c:pt>
                <c:pt idx="9">
                  <c:v>Saúde</c:v>
                </c:pt>
                <c:pt idx="10">
                  <c:v>Serviços</c:v>
                </c:pt>
                <c:pt idx="11">
                  <c:v>Transporte</c:v>
                </c:pt>
                <c:pt idx="12">
                  <c:v>Utilidades Domésticas</c:v>
                </c:pt>
                <c:pt idx="13">
                  <c:v>Venda de ativos</c:v>
                </c:pt>
                <c:pt idx="14">
                  <c:v>Vestuário</c:v>
                </c:pt>
                <c:pt idx="15">
                  <c:v>Viagem</c:v>
                </c:pt>
              </c:strCache>
            </c:strRef>
          </c:cat>
          <c:val>
            <c:numRef>
              <c:f>Controller!$B$4:$B$20</c:f>
              <c:numCache>
                <c:formatCode>"R$"\ #,##0.00</c:formatCode>
                <c:ptCount val="16"/>
                <c:pt idx="0">
                  <c:v>600</c:v>
                </c:pt>
                <c:pt idx="1">
                  <c:v>250</c:v>
                </c:pt>
                <c:pt idx="2">
                  <c:v>350</c:v>
                </c:pt>
                <c:pt idx="3">
                  <c:v>300</c:v>
                </c:pt>
                <c:pt idx="4">
                  <c:v>220</c:v>
                </c:pt>
                <c:pt idx="5">
                  <c:v>180</c:v>
                </c:pt>
                <c:pt idx="6">
                  <c:v>150</c:v>
                </c:pt>
                <c:pt idx="7">
                  <c:v>250</c:v>
                </c:pt>
                <c:pt idx="8">
                  <c:v>5000</c:v>
                </c:pt>
                <c:pt idx="9">
                  <c:v>120</c:v>
                </c:pt>
                <c:pt idx="10">
                  <c:v>450</c:v>
                </c:pt>
                <c:pt idx="11">
                  <c:v>200</c:v>
                </c:pt>
                <c:pt idx="12">
                  <c:v>800</c:v>
                </c:pt>
                <c:pt idx="13">
                  <c:v>1500</c:v>
                </c:pt>
                <c:pt idx="14">
                  <c:v>400</c:v>
                </c:pt>
                <c:pt idx="1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9-4937-B7CD-D69A453894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123934239"/>
        <c:axId val="1839965055"/>
      </c:barChart>
      <c:catAx>
        <c:axId val="212393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9965055"/>
        <c:crosses val="autoZero"/>
        <c:auto val="1"/>
        <c:lblAlgn val="ctr"/>
        <c:lblOffset val="100"/>
        <c:noMultiLvlLbl val="0"/>
      </c:catAx>
      <c:valAx>
        <c:axId val="1839965055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12393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[Planilhas_DIO.xlsx]Controller!Tabela dinâmica2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Controller!$A$32:$A$34</c:f>
              <c:strCache>
                <c:ptCount val="2"/>
                <c:pt idx="0">
                  <c:v>Renda Fixa</c:v>
                </c:pt>
                <c:pt idx="1">
                  <c:v>Venda de ativos</c:v>
                </c:pt>
              </c:strCache>
            </c:strRef>
          </c:cat>
          <c:val>
            <c:numRef>
              <c:f>Controller!$B$32:$B$34</c:f>
              <c:numCache>
                <c:formatCode>"R$"\ #,##0.00</c:formatCode>
                <c:ptCount val="2"/>
                <c:pt idx="0">
                  <c:v>5000</c:v>
                </c:pt>
                <c:pt idx="1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2-49F1-B953-2D43075668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9858607"/>
        <c:axId val="1771323935"/>
      </c:barChart>
      <c:catAx>
        <c:axId val="211985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1323935"/>
        <c:crosses val="autoZero"/>
        <c:auto val="1"/>
        <c:lblAlgn val="ctr"/>
        <c:lblOffset val="100"/>
        <c:noMultiLvlLbl val="0"/>
      </c:catAx>
      <c:valAx>
        <c:axId val="1771323935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11985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11111111111109E-2"/>
          <c:y val="0.10185185185185185"/>
          <c:w val="0.93888888888888888"/>
          <c:h val="0.898148148148148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Caixinha!$B$2</c:f>
              <c:strCache>
                <c:ptCount val="1"/>
                <c:pt idx="0">
                  <c:v>Total reservado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Caixinha!$C$2</c:f>
              <c:numCache>
                <c:formatCode>"R$"\ #,##0.00</c:formatCode>
                <c:ptCount val="1"/>
                <c:pt idx="0">
                  <c:v>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8-4FAA-8A91-1318CDD098DF}"/>
            </c:ext>
          </c:extLst>
        </c:ser>
        <c:ser>
          <c:idx val="1"/>
          <c:order val="1"/>
          <c:tx>
            <c:strRef>
              <c:f>Caixinha!$B$3</c:f>
              <c:strCache>
                <c:ptCount val="1"/>
                <c:pt idx="0">
                  <c:v>Meta de reserva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Caixinha!$C$3</c:f>
              <c:numCache>
                <c:formatCode>"R$"\ #,##0.00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8-4FAA-8A91-1318CDD09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8807024"/>
        <c:axId val="1964950240"/>
      </c:barChart>
      <c:catAx>
        <c:axId val="2008807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64950240"/>
        <c:crosses val="autoZero"/>
        <c:auto val="1"/>
        <c:lblAlgn val="ctr"/>
        <c:lblOffset val="100"/>
        <c:noMultiLvlLbl val="0"/>
      </c:catAx>
      <c:valAx>
        <c:axId val="19649502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20088070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[Planilhas_DIO.xlsx]Controller!Tabela dinâmica1</c:name>
    <c:fmtId val="4"/>
  </c:pivotSource>
  <c:chart>
    <c:autoTitleDeleted val="1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368538262536802E-2"/>
          <c:y val="0.23569253156651021"/>
          <c:w val="0.95842577557850306"/>
          <c:h val="0.316770195392242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Controller!$A$4:$A$20</c:f>
              <c:strCache>
                <c:ptCount val="16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Renda Fixa</c:v>
                </c:pt>
                <c:pt idx="9">
                  <c:v>Saúde</c:v>
                </c:pt>
                <c:pt idx="10">
                  <c:v>Serviços</c:v>
                </c:pt>
                <c:pt idx="11">
                  <c:v>Transporte</c:v>
                </c:pt>
                <c:pt idx="12">
                  <c:v>Utilidades Domésticas</c:v>
                </c:pt>
                <c:pt idx="13">
                  <c:v>Venda de ativos</c:v>
                </c:pt>
                <c:pt idx="14">
                  <c:v>Vestuário</c:v>
                </c:pt>
                <c:pt idx="15">
                  <c:v>Viagem</c:v>
                </c:pt>
              </c:strCache>
            </c:strRef>
          </c:cat>
          <c:val>
            <c:numRef>
              <c:f>Controller!$B$4:$B$20</c:f>
              <c:numCache>
                <c:formatCode>"R$"\ #,##0.00</c:formatCode>
                <c:ptCount val="16"/>
                <c:pt idx="0">
                  <c:v>600</c:v>
                </c:pt>
                <c:pt idx="1">
                  <c:v>250</c:v>
                </c:pt>
                <c:pt idx="2">
                  <c:v>350</c:v>
                </c:pt>
                <c:pt idx="3">
                  <c:v>300</c:v>
                </c:pt>
                <c:pt idx="4">
                  <c:v>220</c:v>
                </c:pt>
                <c:pt idx="5">
                  <c:v>180</c:v>
                </c:pt>
                <c:pt idx="6">
                  <c:v>150</c:v>
                </c:pt>
                <c:pt idx="7">
                  <c:v>250</c:v>
                </c:pt>
                <c:pt idx="8">
                  <c:v>5000</c:v>
                </c:pt>
                <c:pt idx="9">
                  <c:v>120</c:v>
                </c:pt>
                <c:pt idx="10">
                  <c:v>450</c:v>
                </c:pt>
                <c:pt idx="11">
                  <c:v>200</c:v>
                </c:pt>
                <c:pt idx="12">
                  <c:v>800</c:v>
                </c:pt>
                <c:pt idx="13">
                  <c:v>1500</c:v>
                </c:pt>
                <c:pt idx="14">
                  <c:v>400</c:v>
                </c:pt>
                <c:pt idx="1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C-4582-A25F-04D5C57DCC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123934239"/>
        <c:axId val="1839965055"/>
      </c:barChart>
      <c:catAx>
        <c:axId val="212393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9965055"/>
        <c:crosses val="autoZero"/>
        <c:auto val="1"/>
        <c:lblAlgn val="ctr"/>
        <c:lblOffset val="100"/>
        <c:noMultiLvlLbl val="0"/>
      </c:catAx>
      <c:valAx>
        <c:axId val="1839965055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12393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[Planilhas_DIO.xlsx]Controller!Tabela dinâmica2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217734715125063E-2"/>
          <c:y val="3.8934490312874962E-3"/>
          <c:w val="0.93888888888888888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Controller!$A$32:$A$34</c:f>
              <c:strCache>
                <c:ptCount val="2"/>
                <c:pt idx="0">
                  <c:v>Renda Fixa</c:v>
                </c:pt>
                <c:pt idx="1">
                  <c:v>Venda de ativos</c:v>
                </c:pt>
              </c:strCache>
            </c:strRef>
          </c:cat>
          <c:val>
            <c:numRef>
              <c:f>Controller!$B$32:$B$34</c:f>
              <c:numCache>
                <c:formatCode>"R$"\ #,##0.00</c:formatCode>
                <c:ptCount val="2"/>
                <c:pt idx="0">
                  <c:v>5000</c:v>
                </c:pt>
                <c:pt idx="1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0-4309-BD5A-4F4A86A15E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9858607"/>
        <c:axId val="1771323935"/>
      </c:barChart>
      <c:catAx>
        <c:axId val="211985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1323935"/>
        <c:crosses val="autoZero"/>
        <c:auto val="1"/>
        <c:lblAlgn val="ctr"/>
        <c:lblOffset val="100"/>
        <c:noMultiLvlLbl val="0"/>
      </c:catAx>
      <c:valAx>
        <c:axId val="1771323935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11985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646580708266054E-2"/>
          <c:y val="1.0092818165165393E-2"/>
          <c:w val="0.93888888888888888"/>
          <c:h val="0.898148148148148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Caixinha!$B$2</c:f>
              <c:strCache>
                <c:ptCount val="1"/>
                <c:pt idx="0">
                  <c:v>Total reservado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Caixinha!$C$2</c:f>
              <c:numCache>
                <c:formatCode>"R$"\ #,##0.00</c:formatCode>
                <c:ptCount val="1"/>
                <c:pt idx="0">
                  <c:v>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2-4113-948A-E9B33FC4B649}"/>
            </c:ext>
          </c:extLst>
        </c:ser>
        <c:ser>
          <c:idx val="1"/>
          <c:order val="1"/>
          <c:tx>
            <c:strRef>
              <c:f>Caixinha!$B$3</c:f>
              <c:strCache>
                <c:ptCount val="1"/>
                <c:pt idx="0">
                  <c:v>Meta de reserva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Caixinha!$C$3</c:f>
              <c:numCache>
                <c:formatCode>"R$"\ #,##0.00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2-4113-948A-E9B33FC4B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8807024"/>
        <c:axId val="1964950240"/>
      </c:barChart>
      <c:catAx>
        <c:axId val="2008807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64950240"/>
        <c:crosses val="autoZero"/>
        <c:auto val="1"/>
        <c:lblAlgn val="ctr"/>
        <c:lblOffset val="100"/>
        <c:noMultiLvlLbl val="0"/>
      </c:catAx>
      <c:valAx>
        <c:axId val="196495024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0088070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6.xml"/><Relationship Id="rId3" Type="http://schemas.openxmlformats.org/officeDocument/2006/relationships/image" Target="../media/image2.svg"/><Relationship Id="rId7" Type="http://schemas.openxmlformats.org/officeDocument/2006/relationships/hyperlink" Target="#Data!A1"/><Relationship Id="rId12" Type="http://schemas.openxmlformats.org/officeDocument/2006/relationships/image" Target="../media/image9.svg"/><Relationship Id="rId2" Type="http://schemas.openxmlformats.org/officeDocument/2006/relationships/image" Target="../media/image1.png"/><Relationship Id="rId1" Type="http://schemas.openxmlformats.org/officeDocument/2006/relationships/chart" Target="../charts/chart4.xml"/><Relationship Id="rId6" Type="http://schemas.openxmlformats.org/officeDocument/2006/relationships/image" Target="../media/image4.svg"/><Relationship Id="rId11" Type="http://schemas.openxmlformats.org/officeDocument/2006/relationships/image" Target="../media/image8.png"/><Relationship Id="rId5" Type="http://schemas.openxmlformats.org/officeDocument/2006/relationships/image" Target="../media/image3.png"/><Relationship Id="rId10" Type="http://schemas.openxmlformats.org/officeDocument/2006/relationships/image" Target="../media/image7.jpeg"/><Relationship Id="rId4" Type="http://schemas.openxmlformats.org/officeDocument/2006/relationships/chart" Target="../charts/chart5.xml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419099</xdr:colOff>
      <xdr:row>1</xdr:row>
      <xdr:rowOff>166687</xdr:rowOff>
    </xdr:from>
    <xdr:to>
      <xdr:col>19</xdr:col>
      <xdr:colOff>495300</xdr:colOff>
      <xdr:row>16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F938D4C-5763-D97E-F409-BD98A9FDB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376918</xdr:colOff>
      <xdr:row>16</xdr:row>
      <xdr:rowOff>98651</xdr:rowOff>
    </xdr:from>
    <xdr:to>
      <xdr:col>11</xdr:col>
      <xdr:colOff>69396</xdr:colOff>
      <xdr:row>30</xdr:row>
      <xdr:rowOff>174851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CBC5D3-1507-7CB5-5B83-7AA5181D8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568779</xdr:colOff>
      <xdr:row>8</xdr:row>
      <xdr:rowOff>38100</xdr:rowOff>
    </xdr:from>
    <xdr:to>
      <xdr:col>9</xdr:col>
      <xdr:colOff>560614</xdr:colOff>
      <xdr:row>21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">
              <a:extLst>
                <a:ext uri="{FF2B5EF4-FFF2-40B4-BE49-F238E27FC236}">
                  <a16:creationId xmlns:a16="http://schemas.microsoft.com/office/drawing/2014/main" id="{BC2C6476-B972-EB02-E4FD-02091A59A8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8350" y="1562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509587</xdr:colOff>
      <xdr:row>0</xdr:row>
      <xdr:rowOff>795337</xdr:rowOff>
    </xdr:from>
    <xdr:to>
      <xdr:col>11</xdr:col>
      <xdr:colOff>204787</xdr:colOff>
      <xdr:row>14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1A30D6-AF55-BCC8-DC98-8C8D8A89C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328890</xdr:colOff>
      <xdr:row>27</xdr:row>
      <xdr:rowOff>132671</xdr:rowOff>
    </xdr:from>
    <xdr:to>
      <xdr:col>19</xdr:col>
      <xdr:colOff>508785</xdr:colOff>
      <xdr:row>44</xdr:row>
      <xdr:rowOff>149989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7C3F0B92-5F06-FC13-D376-C42A6E4EFE32}"/>
            </a:ext>
          </a:extLst>
        </xdr:cNvPr>
        <xdr:cNvGrpSpPr/>
      </xdr:nvGrpSpPr>
      <xdr:grpSpPr>
        <a:xfrm>
          <a:off x="1617566" y="5276171"/>
          <a:ext cx="11072013" cy="3255818"/>
          <a:chOff x="1711499" y="4500563"/>
          <a:chExt cx="11201680" cy="3255818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34E021FA-68DA-1062-8CF8-77CA1F749B15}"/>
              </a:ext>
            </a:extLst>
          </xdr:cNvPr>
          <xdr:cNvSpPr/>
        </xdr:nvSpPr>
        <xdr:spPr>
          <a:xfrm>
            <a:off x="1730582" y="4511943"/>
            <a:ext cx="11168986" cy="304002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EBB3BD4D-38B2-4E01-80FC-F29B73604A4B}"/>
              </a:ext>
            </a:extLst>
          </xdr:cNvPr>
          <xdr:cNvGraphicFramePr>
            <a:graphicFrameLocks/>
          </xdr:cNvGraphicFramePr>
        </xdr:nvGraphicFramePr>
        <xdr:xfrm>
          <a:off x="1910716" y="4650241"/>
          <a:ext cx="10960094" cy="31061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F6820DA6-E602-C01A-1A7A-E0DEF5AFD93A}"/>
              </a:ext>
            </a:extLst>
          </xdr:cNvPr>
          <xdr:cNvSpPr/>
        </xdr:nvSpPr>
        <xdr:spPr>
          <a:xfrm>
            <a:off x="1711499" y="4500563"/>
            <a:ext cx="11201680" cy="64077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6C6A1B62-5E42-5C60-C4D0-2686874A63FC}"/>
              </a:ext>
            </a:extLst>
          </xdr:cNvPr>
          <xdr:cNvSpPr txBox="1"/>
        </xdr:nvSpPr>
        <xdr:spPr>
          <a:xfrm>
            <a:off x="2716016" y="4610534"/>
            <a:ext cx="3128712" cy="398318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Gastos</a:t>
            </a:r>
          </a:p>
        </xdr:txBody>
      </xdr:sp>
      <xdr:pic>
        <xdr:nvPicPr>
          <xdr:cNvPr id="18" name="Gráfico 17" descr="Dinheiro voador com preenchimento sólido">
            <a:extLst>
              <a:ext uri="{FF2B5EF4-FFF2-40B4-BE49-F238E27FC236}">
                <a16:creationId xmlns:a16="http://schemas.microsoft.com/office/drawing/2014/main" id="{44DED33C-D9B5-CE94-B782-96795A991E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028825" y="4552950"/>
            <a:ext cx="598034" cy="52672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328890</xdr:colOff>
      <xdr:row>2</xdr:row>
      <xdr:rowOff>1546</xdr:rowOff>
    </xdr:from>
    <xdr:to>
      <xdr:col>19</xdr:col>
      <xdr:colOff>447952</xdr:colOff>
      <xdr:row>7</xdr:row>
      <xdr:rowOff>187097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703270C-4747-7D5B-EF82-49C8603F4D7C}"/>
            </a:ext>
          </a:extLst>
        </xdr:cNvPr>
        <xdr:cNvSpPr/>
      </xdr:nvSpPr>
      <xdr:spPr>
        <a:xfrm>
          <a:off x="1621569" y="382546"/>
          <a:ext cx="11140847" cy="113805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410532</xdr:colOff>
      <xdr:row>8</xdr:row>
      <xdr:rowOff>150359</xdr:rowOff>
    </xdr:from>
    <xdr:to>
      <xdr:col>18</xdr:col>
      <xdr:colOff>536770</xdr:colOff>
      <xdr:row>26</xdr:row>
      <xdr:rowOff>140587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F03D238-43C8-03B7-970E-6EE4C1377BBB}"/>
            </a:ext>
          </a:extLst>
        </xdr:cNvPr>
        <xdr:cNvGrpSpPr/>
      </xdr:nvGrpSpPr>
      <xdr:grpSpPr>
        <a:xfrm>
          <a:off x="1699208" y="1674359"/>
          <a:ext cx="10413238" cy="3419228"/>
          <a:chOff x="1883506" y="521154"/>
          <a:chExt cx="10652741" cy="3419228"/>
        </a:xfrm>
      </xdr:grpSpPr>
      <xdr:sp macro="" textlink="">
        <xdr:nvSpPr>
          <xdr:cNvPr id="68" name="Retângulo: Cantos Arredondados 67">
            <a:extLst>
              <a:ext uri="{FF2B5EF4-FFF2-40B4-BE49-F238E27FC236}">
                <a16:creationId xmlns:a16="http://schemas.microsoft.com/office/drawing/2014/main" id="{1DEF7D2E-3A3C-0262-1E81-428A565B2D1F}"/>
              </a:ext>
            </a:extLst>
          </xdr:cNvPr>
          <xdr:cNvSpPr/>
        </xdr:nvSpPr>
        <xdr:spPr>
          <a:xfrm>
            <a:off x="7582714" y="649928"/>
            <a:ext cx="4936359" cy="329045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E1D82A81-EFDB-EB6A-3763-7399E77D7A39}"/>
              </a:ext>
            </a:extLst>
          </xdr:cNvPr>
          <xdr:cNvSpPr/>
        </xdr:nvSpPr>
        <xdr:spPr>
          <a:xfrm>
            <a:off x="1897783" y="592777"/>
            <a:ext cx="4936359" cy="329045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A8CA75E7-7220-42E0-8B42-5790FAF1E52A}"/>
              </a:ext>
            </a:extLst>
          </xdr:cNvPr>
          <xdr:cNvGraphicFramePr>
            <a:graphicFrameLocks/>
          </xdr:cNvGraphicFramePr>
        </xdr:nvGraphicFramePr>
        <xdr:xfrm>
          <a:off x="2066180" y="1262992"/>
          <a:ext cx="4390401" cy="24302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740DB75C-84C0-E5FE-08CB-21DF282DE2A6}"/>
              </a:ext>
            </a:extLst>
          </xdr:cNvPr>
          <xdr:cNvSpPr/>
        </xdr:nvSpPr>
        <xdr:spPr>
          <a:xfrm>
            <a:off x="1883506" y="557893"/>
            <a:ext cx="4954052" cy="64077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EEEC6E33-78CE-8462-D4F1-57DE4621F537}"/>
              </a:ext>
            </a:extLst>
          </xdr:cNvPr>
          <xdr:cNvSpPr txBox="1"/>
        </xdr:nvSpPr>
        <xdr:spPr>
          <a:xfrm>
            <a:off x="3099982" y="705964"/>
            <a:ext cx="1415444" cy="398318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Entradas</a:t>
            </a:r>
          </a:p>
        </xdr:txBody>
      </xdr:sp>
      <xdr:pic>
        <xdr:nvPicPr>
          <xdr:cNvPr id="20" name="Gráfico 19" descr="Registrar estrutura de tópicos">
            <a:extLst>
              <a:ext uri="{FF2B5EF4-FFF2-40B4-BE49-F238E27FC236}">
                <a16:creationId xmlns:a16="http://schemas.microsoft.com/office/drawing/2014/main" id="{A02E1385-EE87-C13C-489F-636FC781BE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271209" y="521154"/>
            <a:ext cx="676908" cy="666750"/>
          </a:xfrm>
          <a:prstGeom prst="rect">
            <a:avLst/>
          </a:prstGeom>
        </xdr:spPr>
      </xdr:pic>
      <xdr:sp macro="" textlink="">
        <xdr:nvSpPr>
          <xdr:cNvPr id="67" name="Retângulo: Cantos Superiores Arredondados 66">
            <a:extLst>
              <a:ext uri="{FF2B5EF4-FFF2-40B4-BE49-F238E27FC236}">
                <a16:creationId xmlns:a16="http://schemas.microsoft.com/office/drawing/2014/main" id="{4D60A8EB-36A6-DFA7-C9AF-B4EF745E0B2B}"/>
              </a:ext>
            </a:extLst>
          </xdr:cNvPr>
          <xdr:cNvSpPr/>
        </xdr:nvSpPr>
        <xdr:spPr>
          <a:xfrm>
            <a:off x="7582195" y="547008"/>
            <a:ext cx="4954052" cy="64077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oneCell">
    <xdr:from>
      <xdr:col>0</xdr:col>
      <xdr:colOff>0</xdr:colOff>
      <xdr:row>6</xdr:row>
      <xdr:rowOff>95249</xdr:rowOff>
    </xdr:from>
    <xdr:to>
      <xdr:col>0</xdr:col>
      <xdr:colOff>1265464</xdr:colOff>
      <xdr:row>13</xdr:row>
      <xdr:rowOff>13606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Mês 1">
              <a:extLst>
                <a:ext uri="{FF2B5EF4-FFF2-40B4-BE49-F238E27FC236}">
                  <a16:creationId xmlns:a16="http://schemas.microsoft.com/office/drawing/2014/main" id="{CA4FD0FF-A0C6-46EA-BCDC-65F4753CF3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38249"/>
              <a:ext cx="1265464" cy="12518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47625</xdr:colOff>
      <xdr:row>2</xdr:row>
      <xdr:rowOff>149678</xdr:rowOff>
    </xdr:from>
    <xdr:to>
      <xdr:col>4</xdr:col>
      <xdr:colOff>142875</xdr:colOff>
      <xdr:row>7</xdr:row>
      <xdr:rowOff>78240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7FFA2064-7786-59C2-8D0D-D738E3D6E7C4}"/>
            </a:ext>
          </a:extLst>
        </xdr:cNvPr>
        <xdr:cNvSpPr/>
      </xdr:nvSpPr>
      <xdr:spPr>
        <a:xfrm>
          <a:off x="1952625" y="530678"/>
          <a:ext cx="1319893" cy="88106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547687</xdr:colOff>
      <xdr:row>3</xdr:row>
      <xdr:rowOff>68035</xdr:rowOff>
    </xdr:from>
    <xdr:to>
      <xdr:col>11</xdr:col>
      <xdr:colOff>309562</xdr:colOff>
      <xdr:row>7</xdr:row>
      <xdr:rowOff>44222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22B5D418-8CA7-7791-D088-15478B549D42}"/>
            </a:ext>
          </a:extLst>
        </xdr:cNvPr>
        <xdr:cNvSpPr txBox="1"/>
      </xdr:nvSpPr>
      <xdr:spPr>
        <a:xfrm>
          <a:off x="3677330" y="639535"/>
          <a:ext cx="4048125" cy="7381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Hello, Alê</a:t>
          </a:r>
          <a:b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1400" b="0">
              <a:latin typeface="Segoe UI" panose="020B0502040204020203" pitchFamily="34" charset="0"/>
              <a:cs typeface="Segoe UI" panose="020B0502040204020203" pitchFamily="34" charset="0"/>
            </a:rPr>
            <a:t>Acompanhamento financeiro</a:t>
          </a:r>
        </a:p>
      </xdr:txBody>
    </xdr:sp>
    <xdr:clientData/>
  </xdr:twoCellAnchor>
  <xdr:twoCellAnchor>
    <xdr:from>
      <xdr:col>10</xdr:col>
      <xdr:colOff>483053</xdr:colOff>
      <xdr:row>4</xdr:row>
      <xdr:rowOff>3401</xdr:rowOff>
    </xdr:from>
    <xdr:to>
      <xdr:col>17</xdr:col>
      <xdr:colOff>530679</xdr:colOff>
      <xdr:row>6</xdr:row>
      <xdr:rowOff>13606</xdr:rowOff>
    </xdr:to>
    <xdr:sp macro="" textlink="">
      <xdr:nvSpPr>
        <xdr:cNvPr id="29" name="Retângul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734AF4-E749-55C2-6136-C07B40B1A078}"/>
            </a:ext>
          </a:extLst>
        </xdr:cNvPr>
        <xdr:cNvSpPr/>
      </xdr:nvSpPr>
      <xdr:spPr>
        <a:xfrm>
          <a:off x="7286624" y="765401"/>
          <a:ext cx="4333876" cy="39120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Pesquisar</a:t>
          </a:r>
          <a:r>
            <a:rPr lang="pt-BR" sz="1100" baseline="0"/>
            <a:t> dados</a:t>
          </a:r>
          <a:endParaRPr lang="pt-BR" sz="1100"/>
        </a:p>
      </xdr:txBody>
    </xdr:sp>
    <xdr:clientData/>
  </xdr:twoCellAnchor>
  <xdr:twoCellAnchor editAs="oneCell">
    <xdr:from>
      <xdr:col>17</xdr:col>
      <xdr:colOff>132670</xdr:colOff>
      <xdr:row>4</xdr:row>
      <xdr:rowOff>23812</xdr:rowOff>
    </xdr:from>
    <xdr:to>
      <xdr:col>17</xdr:col>
      <xdr:colOff>489857</xdr:colOff>
      <xdr:row>6</xdr:row>
      <xdr:rowOff>3553</xdr:rowOff>
    </xdr:to>
    <xdr:pic>
      <xdr:nvPicPr>
        <xdr:cNvPr id="31" name="Gráfico 30" descr="Lupa com preenchimento sólido">
          <a:extLst>
            <a:ext uri="{FF2B5EF4-FFF2-40B4-BE49-F238E27FC236}">
              <a16:creationId xmlns:a16="http://schemas.microsoft.com/office/drawing/2014/main" id="{5A5A28FB-2F40-2E48-2870-6CD9C2EAA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1222491" y="785812"/>
          <a:ext cx="357187" cy="360741"/>
        </a:xfrm>
        <a:prstGeom prst="rect">
          <a:avLst/>
        </a:prstGeom>
      </xdr:spPr>
    </xdr:pic>
    <xdr:clientData/>
  </xdr:twoCellAnchor>
  <xdr:twoCellAnchor editAs="oneCell">
    <xdr:from>
      <xdr:col>2</xdr:col>
      <xdr:colOff>231322</xdr:colOff>
      <xdr:row>2</xdr:row>
      <xdr:rowOff>110392</xdr:rowOff>
    </xdr:from>
    <xdr:to>
      <xdr:col>3</xdr:col>
      <xdr:colOff>530679</xdr:colOff>
      <xdr:row>7</xdr:row>
      <xdr:rowOff>95250</xdr:rowOff>
    </xdr:to>
    <xdr:pic>
      <xdr:nvPicPr>
        <xdr:cNvPr id="47" name="dimg_1n-FZ7a8O7ix5OUPn_OriAw_393" descr="13 ideias de Mulher executiva | mulher executiva, mulher, mulheres de  negócios">
          <a:extLst>
            <a:ext uri="{FF2B5EF4-FFF2-40B4-BE49-F238E27FC236}">
              <a16:creationId xmlns:a16="http://schemas.microsoft.com/office/drawing/2014/main" id="{09C573CA-F277-D5F6-9619-F45FA3EF42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19" r="19968" b="65005"/>
        <a:stretch/>
      </xdr:blipFill>
      <xdr:spPr bwMode="auto">
        <a:xfrm>
          <a:off x="2136322" y="491392"/>
          <a:ext cx="911678" cy="937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44824</xdr:colOff>
      <xdr:row>1</xdr:row>
      <xdr:rowOff>95250</xdr:rowOff>
    </xdr:from>
    <xdr:to>
      <xdr:col>0</xdr:col>
      <xdr:colOff>1221442</xdr:colOff>
      <xdr:row>3</xdr:row>
      <xdr:rowOff>13607</xdr:rowOff>
    </xdr:to>
    <xdr:sp macro="" textlink="">
      <xdr:nvSpPr>
        <xdr:cNvPr id="48" name="Retângulo: Cantos Arredondados 47">
          <a:extLst>
            <a:ext uri="{FF2B5EF4-FFF2-40B4-BE49-F238E27FC236}">
              <a16:creationId xmlns:a16="http://schemas.microsoft.com/office/drawing/2014/main" id="{F289D397-2AC2-7D48-EFE2-CA8424230244}"/>
            </a:ext>
          </a:extLst>
        </xdr:cNvPr>
        <xdr:cNvSpPr/>
      </xdr:nvSpPr>
      <xdr:spPr>
        <a:xfrm>
          <a:off x="44824" y="285750"/>
          <a:ext cx="1176618" cy="299357"/>
        </a:xfrm>
        <a:prstGeom prst="roundRect">
          <a:avLst>
            <a:gd name="adj" fmla="val 0"/>
          </a:avLst>
        </a:prstGeom>
        <a:solidFill>
          <a:schemeClr val="accent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Bootcamp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DIO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500579</xdr:colOff>
      <xdr:row>9</xdr:row>
      <xdr:rowOff>133784</xdr:rowOff>
    </xdr:from>
    <xdr:to>
      <xdr:col>15</xdr:col>
      <xdr:colOff>63507</xdr:colOff>
      <xdr:row>11</xdr:row>
      <xdr:rowOff>151102</xdr:rowOff>
    </xdr:to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2A4825B5-27FD-2B5C-6DEB-C84FC2886CBA}"/>
            </a:ext>
          </a:extLst>
        </xdr:cNvPr>
        <xdr:cNvSpPr txBox="1"/>
      </xdr:nvSpPr>
      <xdr:spPr>
        <a:xfrm>
          <a:off x="8528793" y="1848284"/>
          <a:ext cx="1399893" cy="39831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Economias</a:t>
          </a:r>
        </a:p>
      </xdr:txBody>
    </xdr:sp>
    <xdr:clientData/>
  </xdr:twoCellAnchor>
  <xdr:twoCellAnchor editAs="oneCell">
    <xdr:from>
      <xdr:col>11</xdr:col>
      <xdr:colOff>81643</xdr:colOff>
      <xdr:row>8</xdr:row>
      <xdr:rowOff>95250</xdr:rowOff>
    </xdr:from>
    <xdr:to>
      <xdr:col>12</xdr:col>
      <xdr:colOff>383722</xdr:colOff>
      <xdr:row>13</xdr:row>
      <xdr:rowOff>57150</xdr:rowOff>
    </xdr:to>
    <xdr:pic>
      <xdr:nvPicPr>
        <xdr:cNvPr id="50" name="Gráfico 49" descr="Porco com preenchimento sólido">
          <a:extLst>
            <a:ext uri="{FF2B5EF4-FFF2-40B4-BE49-F238E27FC236}">
              <a16:creationId xmlns:a16="http://schemas.microsoft.com/office/drawing/2014/main" id="{2CB524FB-7211-E3FC-98D0-8479A085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497536" y="1619250"/>
          <a:ext cx="914400" cy="914400"/>
        </a:xfrm>
        <a:prstGeom prst="rect">
          <a:avLst/>
        </a:prstGeom>
      </xdr:spPr>
    </xdr:pic>
    <xdr:clientData/>
  </xdr:twoCellAnchor>
  <xdr:twoCellAnchor>
    <xdr:from>
      <xdr:col>11</xdr:col>
      <xdr:colOff>29533</xdr:colOff>
      <xdr:row>12</xdr:row>
      <xdr:rowOff>95931</xdr:rowOff>
    </xdr:from>
    <xdr:to>
      <xdr:col>18</xdr:col>
      <xdr:colOff>149678</xdr:colOff>
      <xdr:row>25</xdr:row>
      <xdr:rowOff>136072</xdr:rowOff>
    </xdr:to>
    <xdr:graphicFrame macro="">
      <xdr:nvGraphicFramePr>
        <xdr:cNvPr id="79" name="Gráfico 78">
          <a:extLst>
            <a:ext uri="{FF2B5EF4-FFF2-40B4-BE49-F238E27FC236}">
              <a16:creationId xmlns:a16="http://schemas.microsoft.com/office/drawing/2014/main" id="{CD26EA22-5FD6-4056-A178-B25500D03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5322</xdr:colOff>
      <xdr:row>0</xdr:row>
      <xdr:rowOff>0</xdr:rowOff>
    </xdr:from>
    <xdr:to>
      <xdr:col>12</xdr:col>
      <xdr:colOff>481852</xdr:colOff>
      <xdr:row>1</xdr:row>
      <xdr:rowOff>182976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202DC76-A626-735F-0CFD-47C6267076D6}"/>
            </a:ext>
          </a:extLst>
        </xdr:cNvPr>
        <xdr:cNvSpPr txBox="1"/>
      </xdr:nvSpPr>
      <xdr:spPr>
        <a:xfrm>
          <a:off x="5529822" y="0"/>
          <a:ext cx="2897001" cy="373476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Atenção:</a:t>
          </a:r>
          <a:r>
            <a:rPr lang="pt-BR" sz="18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dados fictícios!</a:t>
          </a:r>
          <a:b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endParaRPr lang="pt-BR" sz="1400" b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a Ferreira dos Anjos Martins" refreshedDate="45670.735979282406" createdVersion="8" refreshedVersion="8" minRefreshableVersion="3" recordCount="44" xr:uid="{390266AC-D4A5-4AFD-B97F-AF1ED5E3B1D5}">
  <cacheSource type="worksheet">
    <worksheetSource name="tbl_operations"/>
  </cacheSource>
  <cacheFields count="8">
    <cacheField name="Data" numFmtId="14">
      <sharedItems containsSemiMixedTypes="0" containsNonDate="0" containsDate="1" containsString="0" minDate="2024-08-01T00:00:00" maxDate="2024-11-01T00:00:00"/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ntainsBlank="1" count="3">
        <s v="ENTRADA"/>
        <s v="SAÍDA"/>
        <m u="1"/>
      </sharedItems>
    </cacheField>
    <cacheField name="Categoria" numFmtId="0">
      <sharedItems containsBlank="1" count="20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  <m u="1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80" maxValue="5000"/>
    </cacheField>
    <cacheField name="Operação bancária 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726422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4-08-01T00:00:00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8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296F0-9804-47D7-BF5C-D7CD0DD684B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1:B34" firstHeaderRow="1" firstDataRow="1" firstDataCol="1" rowPageCount="1" colPageCount="1"/>
  <pivotFields count="8">
    <pivotField showAll="0"/>
    <pivotField showAll="0">
      <items count="4">
        <item h="1" x="0"/>
        <item h="1" x="1"/>
        <item x="2"/>
        <item t="default"/>
      </items>
    </pivotField>
    <pivotField axis="axisPage" showAll="0">
      <items count="4">
        <item x="0"/>
        <item x="1"/>
        <item m="1" x="2"/>
        <item t="default"/>
      </items>
    </pivotField>
    <pivotField axis="axisRow" showAll="0">
      <items count="21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m="1" x="19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3">
    <i>
      <x v="10"/>
    </i>
    <i>
      <x v="16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398AE-AF4F-48BD-9664-5B35FF0E917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20" firstHeaderRow="1" firstDataRow="1" firstDataCol="1" rowPageCount="1" colPageCount="1"/>
  <pivotFields count="8">
    <pivotField showAll="0"/>
    <pivotField showAll="0">
      <items count="4">
        <item h="1" x="0"/>
        <item h="1" x="1"/>
        <item x="2"/>
        <item t="default"/>
      </items>
    </pivotField>
    <pivotField axis="axisPage" showAll="0">
      <items count="4">
        <item x="0"/>
        <item x="1"/>
        <item m="1" x="2"/>
        <item t="default"/>
      </items>
    </pivotField>
    <pivotField axis="axisRow" showAll="0">
      <items count="21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m="1" x="19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2" hier="-1"/>
  </pageFields>
  <dataFields count="1">
    <dataField name="Soma de Valor" fld="5" baseField="2" baseItem="0" numFmtId="164"/>
  </dataFields>
  <formats count="3">
    <format dxfId="4">
      <pivotArea outline="0" collapsedLevelsAreSubtotals="1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2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6247F5C2-0069-48D2-8710-A27F67484E33}" sourceName="Mês">
  <pivotTables>
    <pivotTable tabId="4" name="Tabela dinâmica1"/>
    <pivotTable tabId="4" name="Tabela dinâmica2"/>
  </pivotTables>
  <data>
    <tabular pivotCacheId="172642209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5B91F102-8CCA-45CC-8EC8-D8BB10317435}" cache="SegmentaçãodeDados_Mês" caption="Mês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" xr10:uid="{8C60A315-EEBE-402B-B0EB-2332B489DDF7}" cache="SegmentaçãodeDados_Mês" caption="Mês" style="Mystyl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590C36-6733-4C8E-BDB2-CA7CF4E1486E}" name="tbl_operations" displayName="tbl_operations" ref="A1:H45" totalsRowShown="0">
  <autoFilter ref="A1:H45" xr:uid="{5E590C36-6733-4C8E-BDB2-CA7CF4E1486E}"/>
  <tableColumns count="8">
    <tableColumn id="1" xr3:uid="{6B043B90-770D-4B10-852D-57CED5CB4149}" name="Data"/>
    <tableColumn id="8" xr3:uid="{C9B134EE-AD5F-4B65-AD69-23170B086230}" name="Mês" dataDxfId="5">
      <calculatedColumnFormula>MONTH(tbl_operations[[#This Row],[Data]])</calculatedColumnFormula>
    </tableColumn>
    <tableColumn id="2" xr3:uid="{97228D8B-8B0D-4005-A741-7C439D31B003}" name="Tipo"/>
    <tableColumn id="3" xr3:uid="{BA5D82ED-F5F6-4B86-9009-375291EDA2DB}" name="Categoria"/>
    <tableColumn id="4" xr3:uid="{619B2A4E-7CF0-4ACF-8EBC-55748AEE390C}" name="Descrição"/>
    <tableColumn id="5" xr3:uid="{4B038D81-5160-429E-A885-67FF29A65D7C}" name="Valor"/>
    <tableColumn id="6" xr3:uid="{773B181C-1D95-4D75-AAD1-DE2B63A550F7}" name="Operação bancária "/>
    <tableColumn id="7" xr3:uid="{5F1E906F-B37C-43FE-B918-3E9403DF2450}" name="Status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5F9F-ED1D-41E2-AFA4-3C49C6C3AA66}">
  <dimension ref="A1:H45"/>
  <sheetViews>
    <sheetView workbookViewId="0"/>
  </sheetViews>
  <sheetFormatPr defaultRowHeight="15" x14ac:dyDescent="0.25"/>
  <cols>
    <col min="1" max="1" width="13.7109375" customWidth="1"/>
    <col min="2" max="2" width="13.7109375" style="9" customWidth="1"/>
    <col min="3" max="3" width="11.28515625" customWidth="1"/>
    <col min="4" max="4" width="11.5703125" customWidth="1"/>
    <col min="5" max="5" width="20.42578125" customWidth="1"/>
    <col min="6" max="6" width="11.5703125" bestFit="1" customWidth="1"/>
    <col min="7" max="7" width="19.85546875" customWidth="1"/>
    <col min="8" max="8" width="8.7109375" bestFit="1" customWidth="1"/>
  </cols>
  <sheetData>
    <row r="1" spans="1:8" x14ac:dyDescent="0.25">
      <c r="A1" t="s">
        <v>0</v>
      </c>
      <c r="B1" s="9" t="s">
        <v>76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12" customHeight="1" x14ac:dyDescent="0.25">
      <c r="A2" s="1">
        <v>45505</v>
      </c>
      <c r="B2" s="10">
        <f>MONTH(tbl_operations[[#This Row],[Data]])</f>
        <v>8</v>
      </c>
      <c r="C2" s="2" t="s">
        <v>7</v>
      </c>
      <c r="D2" s="2" t="s">
        <v>8</v>
      </c>
      <c r="E2" s="2" t="s">
        <v>9</v>
      </c>
      <c r="F2" s="3">
        <v>5000</v>
      </c>
      <c r="G2" s="2" t="s">
        <v>10</v>
      </c>
      <c r="H2" s="2" t="s">
        <v>11</v>
      </c>
    </row>
    <row r="3" spans="1:8" ht="12" customHeight="1" x14ac:dyDescent="0.25">
      <c r="A3" s="1">
        <v>45505</v>
      </c>
      <c r="B3" s="10">
        <f>MONTH(tbl_operations[[#This Row],[Data]])</f>
        <v>8</v>
      </c>
      <c r="C3" s="2" t="s">
        <v>12</v>
      </c>
      <c r="D3" s="2" t="s">
        <v>13</v>
      </c>
      <c r="E3" s="2" t="s">
        <v>14</v>
      </c>
      <c r="F3" s="3">
        <v>550</v>
      </c>
      <c r="G3" s="2" t="s">
        <v>15</v>
      </c>
      <c r="H3" s="2" t="s">
        <v>16</v>
      </c>
    </row>
    <row r="4" spans="1:8" ht="12" customHeight="1" x14ac:dyDescent="0.25">
      <c r="A4" s="1">
        <v>45507</v>
      </c>
      <c r="B4" s="10">
        <f>MONTH(tbl_operations[[#This Row],[Data]])</f>
        <v>8</v>
      </c>
      <c r="C4" s="2" t="s">
        <v>12</v>
      </c>
      <c r="D4" s="2" t="s">
        <v>17</v>
      </c>
      <c r="E4" s="2" t="s">
        <v>18</v>
      </c>
      <c r="F4" s="3">
        <v>300</v>
      </c>
      <c r="G4" s="2" t="s">
        <v>19</v>
      </c>
      <c r="H4" s="2" t="s">
        <v>20</v>
      </c>
    </row>
    <row r="5" spans="1:8" ht="12" customHeight="1" x14ac:dyDescent="0.25">
      <c r="A5" s="1">
        <v>45509</v>
      </c>
      <c r="B5" s="10">
        <f>MONTH(tbl_operations[[#This Row],[Data]])</f>
        <v>8</v>
      </c>
      <c r="C5" s="2" t="s">
        <v>12</v>
      </c>
      <c r="D5" s="2" t="s">
        <v>21</v>
      </c>
      <c r="E5" s="2" t="s">
        <v>22</v>
      </c>
      <c r="F5" s="3">
        <v>120</v>
      </c>
      <c r="G5" s="2" t="s">
        <v>19</v>
      </c>
      <c r="H5" s="2" t="s">
        <v>20</v>
      </c>
    </row>
    <row r="6" spans="1:8" ht="12" customHeight="1" x14ac:dyDescent="0.25">
      <c r="A6" s="1">
        <v>45511</v>
      </c>
      <c r="B6" s="10">
        <f>MONTH(tbl_operations[[#This Row],[Data]])</f>
        <v>8</v>
      </c>
      <c r="C6" s="2" t="s">
        <v>12</v>
      </c>
      <c r="D6" s="2" t="s">
        <v>23</v>
      </c>
      <c r="E6" s="2" t="s">
        <v>24</v>
      </c>
      <c r="F6" s="3">
        <v>250</v>
      </c>
      <c r="G6" s="2" t="s">
        <v>10</v>
      </c>
      <c r="H6" s="2" t="s">
        <v>20</v>
      </c>
    </row>
    <row r="7" spans="1:8" ht="12" customHeight="1" x14ac:dyDescent="0.25">
      <c r="A7" s="1">
        <v>45514</v>
      </c>
      <c r="B7" s="10">
        <f>MONTH(tbl_operations[[#This Row],[Data]])</f>
        <v>8</v>
      </c>
      <c r="C7" s="2" t="s">
        <v>12</v>
      </c>
      <c r="D7" s="2" t="s">
        <v>25</v>
      </c>
      <c r="E7" s="2" t="s">
        <v>26</v>
      </c>
      <c r="F7" s="3">
        <v>400</v>
      </c>
      <c r="G7" s="2" t="s">
        <v>15</v>
      </c>
      <c r="H7" s="2" t="s">
        <v>16</v>
      </c>
    </row>
    <row r="8" spans="1:8" ht="12" customHeight="1" x14ac:dyDescent="0.25">
      <c r="A8" s="1">
        <v>45516</v>
      </c>
      <c r="B8" s="10">
        <f>MONTH(tbl_operations[[#This Row],[Data]])</f>
        <v>8</v>
      </c>
      <c r="C8" s="2" t="s">
        <v>12</v>
      </c>
      <c r="D8" s="2" t="s">
        <v>27</v>
      </c>
      <c r="E8" s="2" t="s">
        <v>28</v>
      </c>
      <c r="F8" s="3">
        <v>600</v>
      </c>
      <c r="G8" s="2" t="s">
        <v>19</v>
      </c>
      <c r="H8" s="2" t="s">
        <v>16</v>
      </c>
    </row>
    <row r="9" spans="1:8" ht="12" customHeight="1" x14ac:dyDescent="0.25">
      <c r="A9" s="1">
        <v>45519</v>
      </c>
      <c r="B9" s="10">
        <f>MONTH(tbl_operations[[#This Row],[Data]])</f>
        <v>8</v>
      </c>
      <c r="C9" s="2" t="s">
        <v>7</v>
      </c>
      <c r="D9" s="2" t="s">
        <v>29</v>
      </c>
      <c r="E9" s="2" t="s">
        <v>30</v>
      </c>
      <c r="F9" s="3">
        <v>800</v>
      </c>
      <c r="G9" s="2" t="s">
        <v>10</v>
      </c>
      <c r="H9" s="2" t="s">
        <v>11</v>
      </c>
    </row>
    <row r="10" spans="1:8" ht="12" customHeight="1" x14ac:dyDescent="0.25">
      <c r="A10" s="1">
        <v>45519</v>
      </c>
      <c r="B10" s="10">
        <f>MONTH(tbl_operations[[#This Row],[Data]])</f>
        <v>8</v>
      </c>
      <c r="C10" s="2" t="s">
        <v>12</v>
      </c>
      <c r="D10" s="2" t="s">
        <v>31</v>
      </c>
      <c r="E10" s="2" t="s">
        <v>32</v>
      </c>
      <c r="F10" s="3">
        <v>150</v>
      </c>
      <c r="G10" s="2" t="s">
        <v>10</v>
      </c>
      <c r="H10" s="2" t="s">
        <v>20</v>
      </c>
    </row>
    <row r="11" spans="1:8" ht="12" customHeight="1" x14ac:dyDescent="0.25">
      <c r="A11" s="1">
        <v>45522</v>
      </c>
      <c r="B11" s="10">
        <f>MONTH(tbl_operations[[#This Row],[Data]])</f>
        <v>8</v>
      </c>
      <c r="C11" s="2" t="s">
        <v>12</v>
      </c>
      <c r="D11" s="2" t="s">
        <v>33</v>
      </c>
      <c r="E11" s="2" t="s">
        <v>34</v>
      </c>
      <c r="F11" s="3">
        <v>1200</v>
      </c>
      <c r="G11" s="2" t="s">
        <v>19</v>
      </c>
      <c r="H11" s="2" t="s">
        <v>16</v>
      </c>
    </row>
    <row r="12" spans="1:8" ht="12" customHeight="1" x14ac:dyDescent="0.25">
      <c r="A12" s="1">
        <v>45524</v>
      </c>
      <c r="B12" s="10">
        <f>MONTH(tbl_operations[[#This Row],[Data]])</f>
        <v>8</v>
      </c>
      <c r="C12" s="2" t="s">
        <v>12</v>
      </c>
      <c r="D12" s="2" t="s">
        <v>35</v>
      </c>
      <c r="E12" s="2" t="s">
        <v>36</v>
      </c>
      <c r="F12" s="3">
        <v>450</v>
      </c>
      <c r="G12" s="2" t="s">
        <v>15</v>
      </c>
      <c r="H12" s="2" t="s">
        <v>20</v>
      </c>
    </row>
    <row r="13" spans="1:8" ht="12" customHeight="1" x14ac:dyDescent="0.25">
      <c r="A13" s="1">
        <v>45526</v>
      </c>
      <c r="B13" s="10">
        <f>MONTH(tbl_operations[[#This Row],[Data]])</f>
        <v>8</v>
      </c>
      <c r="C13" s="2" t="s">
        <v>12</v>
      </c>
      <c r="D13" s="2" t="s">
        <v>37</v>
      </c>
      <c r="E13" s="2" t="s">
        <v>38</v>
      </c>
      <c r="F13" s="3">
        <v>180</v>
      </c>
      <c r="G13" s="2" t="s">
        <v>10</v>
      </c>
      <c r="H13" s="2" t="s">
        <v>16</v>
      </c>
    </row>
    <row r="14" spans="1:8" ht="12" customHeight="1" x14ac:dyDescent="0.25">
      <c r="A14" s="1">
        <v>45528</v>
      </c>
      <c r="B14" s="10">
        <f>MONTH(tbl_operations[[#This Row],[Data]])</f>
        <v>8</v>
      </c>
      <c r="C14" s="2" t="s">
        <v>12</v>
      </c>
      <c r="D14" s="2" t="s">
        <v>39</v>
      </c>
      <c r="E14" s="2" t="s">
        <v>40</v>
      </c>
      <c r="F14" s="3">
        <v>80</v>
      </c>
      <c r="G14" s="2" t="s">
        <v>15</v>
      </c>
      <c r="H14" s="2" t="s">
        <v>20</v>
      </c>
    </row>
    <row r="15" spans="1:8" ht="12" customHeight="1" x14ac:dyDescent="0.25">
      <c r="A15" s="1">
        <v>45532</v>
      </c>
      <c r="B15" s="10">
        <f>MONTH(tbl_operations[[#This Row],[Data]])</f>
        <v>8</v>
      </c>
      <c r="C15" s="2" t="s">
        <v>12</v>
      </c>
      <c r="D15" s="2" t="s">
        <v>41</v>
      </c>
      <c r="E15" s="2" t="s">
        <v>42</v>
      </c>
      <c r="F15" s="3">
        <v>200</v>
      </c>
      <c r="G15" s="2" t="s">
        <v>15</v>
      </c>
      <c r="H15" s="2" t="s">
        <v>20</v>
      </c>
    </row>
    <row r="16" spans="1:8" ht="12" customHeight="1" x14ac:dyDescent="0.25">
      <c r="A16" s="1">
        <v>45534</v>
      </c>
      <c r="B16" s="10">
        <f>MONTH(tbl_operations[[#This Row],[Data]])</f>
        <v>8</v>
      </c>
      <c r="C16" s="2" t="s">
        <v>12</v>
      </c>
      <c r="D16" s="2" t="s">
        <v>43</v>
      </c>
      <c r="E16" s="2" t="s">
        <v>44</v>
      </c>
      <c r="F16" s="3">
        <v>750</v>
      </c>
      <c r="G16" s="2" t="s">
        <v>10</v>
      </c>
      <c r="H16" s="2" t="s">
        <v>16</v>
      </c>
    </row>
    <row r="17" spans="1:8" ht="12" customHeight="1" x14ac:dyDescent="0.25">
      <c r="A17" s="1">
        <v>45535</v>
      </c>
      <c r="B17" s="10">
        <f>MONTH(tbl_operations[[#This Row],[Data]])</f>
        <v>8</v>
      </c>
      <c r="C17" s="2" t="s">
        <v>12</v>
      </c>
      <c r="D17" s="2" t="s">
        <v>45</v>
      </c>
      <c r="E17" s="2" t="s">
        <v>46</v>
      </c>
      <c r="F17" s="3">
        <v>350</v>
      </c>
      <c r="G17" s="2" t="s">
        <v>19</v>
      </c>
      <c r="H17" s="2" t="s">
        <v>20</v>
      </c>
    </row>
    <row r="18" spans="1:8" ht="12" customHeight="1" x14ac:dyDescent="0.25">
      <c r="A18" s="1">
        <v>45536</v>
      </c>
      <c r="B18" s="10">
        <f>MONTH(tbl_operations[[#This Row],[Data]])</f>
        <v>9</v>
      </c>
      <c r="C18" s="2" t="s">
        <v>7</v>
      </c>
      <c r="D18" s="2" t="s">
        <v>8</v>
      </c>
      <c r="E18" s="2" t="s">
        <v>9</v>
      </c>
      <c r="F18" s="3">
        <v>5000</v>
      </c>
      <c r="G18" s="2" t="s">
        <v>10</v>
      </c>
      <c r="H18" s="2" t="s">
        <v>11</v>
      </c>
    </row>
    <row r="19" spans="1:8" ht="12" customHeight="1" x14ac:dyDescent="0.25">
      <c r="A19" s="1">
        <v>45537</v>
      </c>
      <c r="B19" s="10">
        <f>MONTH(tbl_operations[[#This Row],[Data]])</f>
        <v>9</v>
      </c>
      <c r="C19" s="2" t="s">
        <v>12</v>
      </c>
      <c r="D19" s="2" t="s">
        <v>13</v>
      </c>
      <c r="E19" s="3" t="s">
        <v>14</v>
      </c>
      <c r="F19" s="3">
        <v>450</v>
      </c>
      <c r="G19" s="2" t="s">
        <v>15</v>
      </c>
      <c r="H19" s="2" t="s">
        <v>16</v>
      </c>
    </row>
    <row r="20" spans="1:8" ht="12" customHeight="1" x14ac:dyDescent="0.25">
      <c r="A20" s="1">
        <v>45540</v>
      </c>
      <c r="B20" s="10">
        <f>MONTH(tbl_operations[[#This Row],[Data]])</f>
        <v>9</v>
      </c>
      <c r="C20" s="2" t="s">
        <v>12</v>
      </c>
      <c r="D20" s="2" t="s">
        <v>17</v>
      </c>
      <c r="E20" s="3" t="s">
        <v>18</v>
      </c>
      <c r="F20" s="3">
        <v>300</v>
      </c>
      <c r="G20" s="2" t="s">
        <v>15</v>
      </c>
      <c r="H20" s="2" t="s">
        <v>20</v>
      </c>
    </row>
    <row r="21" spans="1:8" ht="12" customHeight="1" x14ac:dyDescent="0.25">
      <c r="A21" s="1">
        <v>45543</v>
      </c>
      <c r="B21" s="10">
        <f>MONTH(tbl_operations[[#This Row],[Data]])</f>
        <v>9</v>
      </c>
      <c r="C21" s="2" t="s">
        <v>12</v>
      </c>
      <c r="D21" s="2" t="s">
        <v>21</v>
      </c>
      <c r="E21" s="3" t="s">
        <v>47</v>
      </c>
      <c r="F21" s="3">
        <v>200</v>
      </c>
      <c r="G21" s="2" t="s">
        <v>10</v>
      </c>
      <c r="H21" s="2" t="s">
        <v>20</v>
      </c>
    </row>
    <row r="22" spans="1:8" ht="12" customHeight="1" x14ac:dyDescent="0.25">
      <c r="A22" s="1">
        <v>45546</v>
      </c>
      <c r="B22" s="10">
        <f>MONTH(tbl_operations[[#This Row],[Data]])</f>
        <v>9</v>
      </c>
      <c r="C22" s="2" t="s">
        <v>12</v>
      </c>
      <c r="D22" s="2" t="s">
        <v>23</v>
      </c>
      <c r="E22" s="3" t="s">
        <v>48</v>
      </c>
      <c r="F22" s="3">
        <v>600</v>
      </c>
      <c r="G22" s="2" t="s">
        <v>15</v>
      </c>
      <c r="H22" s="2" t="s">
        <v>16</v>
      </c>
    </row>
    <row r="23" spans="1:8" ht="12" customHeight="1" x14ac:dyDescent="0.25">
      <c r="A23" s="1">
        <v>45549</v>
      </c>
      <c r="B23" s="10">
        <f>MONTH(tbl_operations[[#This Row],[Data]])</f>
        <v>9</v>
      </c>
      <c r="C23" s="2" t="s">
        <v>12</v>
      </c>
      <c r="D23" s="2" t="s">
        <v>25</v>
      </c>
      <c r="E23" s="3" t="s">
        <v>26</v>
      </c>
      <c r="F23" s="3">
        <v>350</v>
      </c>
      <c r="G23" s="2" t="s">
        <v>10</v>
      </c>
      <c r="H23" s="2" t="s">
        <v>20</v>
      </c>
    </row>
    <row r="24" spans="1:8" ht="12" customHeight="1" x14ac:dyDescent="0.25">
      <c r="A24" s="1">
        <v>45552</v>
      </c>
      <c r="B24" s="10">
        <f>MONTH(tbl_operations[[#This Row],[Data]])</f>
        <v>9</v>
      </c>
      <c r="C24" s="2" t="s">
        <v>12</v>
      </c>
      <c r="D24" s="2" t="s">
        <v>27</v>
      </c>
      <c r="E24" s="3" t="s">
        <v>49</v>
      </c>
      <c r="F24" s="3">
        <v>500</v>
      </c>
      <c r="G24" s="2" t="s">
        <v>19</v>
      </c>
      <c r="H24" s="2" t="s">
        <v>16</v>
      </c>
    </row>
    <row r="25" spans="1:8" ht="12" customHeight="1" x14ac:dyDescent="0.25">
      <c r="A25" s="1">
        <v>45555</v>
      </c>
      <c r="B25" s="10">
        <f>MONTH(tbl_operations[[#This Row],[Data]])</f>
        <v>9</v>
      </c>
      <c r="C25" s="2" t="s">
        <v>7</v>
      </c>
      <c r="D25" s="2" t="s">
        <v>50</v>
      </c>
      <c r="E25" s="2" t="s">
        <v>51</v>
      </c>
      <c r="F25" s="3">
        <v>1200</v>
      </c>
      <c r="G25" s="2" t="s">
        <v>10</v>
      </c>
      <c r="H25" s="2" t="s">
        <v>11</v>
      </c>
    </row>
    <row r="26" spans="1:8" ht="12" customHeight="1" x14ac:dyDescent="0.25">
      <c r="A26" s="1">
        <v>45555</v>
      </c>
      <c r="B26" s="10">
        <f>MONTH(tbl_operations[[#This Row],[Data]])</f>
        <v>9</v>
      </c>
      <c r="C26" s="2" t="s">
        <v>12</v>
      </c>
      <c r="D26" s="2" t="s">
        <v>31</v>
      </c>
      <c r="E26" s="3" t="s">
        <v>52</v>
      </c>
      <c r="F26" s="3">
        <v>800</v>
      </c>
      <c r="G26" s="2" t="s">
        <v>10</v>
      </c>
      <c r="H26" s="2" t="s">
        <v>20</v>
      </c>
    </row>
    <row r="27" spans="1:8" ht="12" customHeight="1" x14ac:dyDescent="0.25">
      <c r="A27" s="1">
        <v>45558</v>
      </c>
      <c r="B27" s="10">
        <f>MONTH(tbl_operations[[#This Row],[Data]])</f>
        <v>9</v>
      </c>
      <c r="C27" s="2" t="s">
        <v>12</v>
      </c>
      <c r="D27" s="2" t="s">
        <v>33</v>
      </c>
      <c r="E27" s="3" t="s">
        <v>53</v>
      </c>
      <c r="F27" s="3">
        <v>1500</v>
      </c>
      <c r="G27" s="2" t="s">
        <v>19</v>
      </c>
      <c r="H27" s="2" t="s">
        <v>16</v>
      </c>
    </row>
    <row r="28" spans="1:8" ht="12" customHeight="1" x14ac:dyDescent="0.25">
      <c r="A28" s="1">
        <v>45561</v>
      </c>
      <c r="B28" s="10">
        <f>MONTH(tbl_operations[[#This Row],[Data]])</f>
        <v>9</v>
      </c>
      <c r="C28" s="2" t="s">
        <v>12</v>
      </c>
      <c r="D28" s="2" t="s">
        <v>54</v>
      </c>
      <c r="E28" s="3" t="s">
        <v>55</v>
      </c>
      <c r="F28" s="3">
        <v>250</v>
      </c>
      <c r="G28" s="2" t="s">
        <v>15</v>
      </c>
      <c r="H28" s="2" t="s">
        <v>20</v>
      </c>
    </row>
    <row r="29" spans="1:8" ht="12" customHeight="1" x14ac:dyDescent="0.25">
      <c r="A29" s="1">
        <v>45564</v>
      </c>
      <c r="B29" s="10">
        <f>MONTH(tbl_operations[[#This Row],[Data]])</f>
        <v>9</v>
      </c>
      <c r="C29" s="2" t="s">
        <v>12</v>
      </c>
      <c r="D29" s="2" t="s">
        <v>37</v>
      </c>
      <c r="E29" s="3" t="s">
        <v>56</v>
      </c>
      <c r="F29" s="3">
        <v>400</v>
      </c>
      <c r="G29" s="2" t="s">
        <v>19</v>
      </c>
      <c r="H29" s="2" t="s">
        <v>16</v>
      </c>
    </row>
    <row r="30" spans="1:8" ht="12" customHeight="1" x14ac:dyDescent="0.25">
      <c r="A30" s="1">
        <v>45566</v>
      </c>
      <c r="B30" s="10">
        <f>MONTH(tbl_operations[[#This Row],[Data]])</f>
        <v>10</v>
      </c>
      <c r="C30" s="2" t="s">
        <v>7</v>
      </c>
      <c r="D30" s="2" t="s">
        <v>8</v>
      </c>
      <c r="E30" s="2" t="s">
        <v>9</v>
      </c>
      <c r="F30" s="3">
        <v>5000</v>
      </c>
      <c r="G30" s="2" t="s">
        <v>10</v>
      </c>
      <c r="H30" s="2" t="s">
        <v>11</v>
      </c>
    </row>
    <row r="31" spans="1:8" ht="12" customHeight="1" x14ac:dyDescent="0.25">
      <c r="A31" s="1">
        <v>45566</v>
      </c>
      <c r="B31" s="10">
        <f>MONTH(tbl_operations[[#This Row],[Data]])</f>
        <v>10</v>
      </c>
      <c r="C31" s="2" t="s">
        <v>12</v>
      </c>
      <c r="D31" s="2" t="s">
        <v>13</v>
      </c>
      <c r="E31" s="2" t="s">
        <v>14</v>
      </c>
      <c r="F31" s="3">
        <v>600</v>
      </c>
      <c r="G31" s="2" t="s">
        <v>15</v>
      </c>
      <c r="H31" s="2" t="s">
        <v>16</v>
      </c>
    </row>
    <row r="32" spans="1:8" ht="12" customHeight="1" x14ac:dyDescent="0.25">
      <c r="A32" s="1">
        <v>45568</v>
      </c>
      <c r="B32" s="10">
        <f>MONTH(tbl_operations[[#This Row],[Data]])</f>
        <v>10</v>
      </c>
      <c r="C32" s="2" t="s">
        <v>12</v>
      </c>
      <c r="D32" s="2" t="s">
        <v>17</v>
      </c>
      <c r="E32" s="2" t="s">
        <v>57</v>
      </c>
      <c r="F32" s="3">
        <v>200</v>
      </c>
      <c r="G32" s="2" t="s">
        <v>19</v>
      </c>
      <c r="H32" s="2" t="s">
        <v>20</v>
      </c>
    </row>
    <row r="33" spans="1:8" ht="12" customHeight="1" x14ac:dyDescent="0.25">
      <c r="A33" s="1">
        <v>45570</v>
      </c>
      <c r="B33" s="10">
        <f>MONTH(tbl_operations[[#This Row],[Data]])</f>
        <v>10</v>
      </c>
      <c r="C33" s="2" t="s">
        <v>12</v>
      </c>
      <c r="D33" s="2" t="s">
        <v>21</v>
      </c>
      <c r="E33" s="2" t="s">
        <v>58</v>
      </c>
      <c r="F33" s="3">
        <v>180</v>
      </c>
      <c r="G33" s="2" t="s">
        <v>10</v>
      </c>
      <c r="H33" s="2" t="s">
        <v>20</v>
      </c>
    </row>
    <row r="34" spans="1:8" ht="12" customHeight="1" x14ac:dyDescent="0.25">
      <c r="A34" s="1">
        <v>45573</v>
      </c>
      <c r="B34" s="10">
        <f>MONTH(tbl_operations[[#This Row],[Data]])</f>
        <v>10</v>
      </c>
      <c r="C34" s="2" t="s">
        <v>12</v>
      </c>
      <c r="D34" s="2" t="s">
        <v>23</v>
      </c>
      <c r="E34" s="2" t="s">
        <v>59</v>
      </c>
      <c r="F34" s="3">
        <v>120</v>
      </c>
      <c r="G34" s="2" t="s">
        <v>15</v>
      </c>
      <c r="H34" s="2" t="s">
        <v>16</v>
      </c>
    </row>
    <row r="35" spans="1:8" ht="12" customHeight="1" x14ac:dyDescent="0.25">
      <c r="A35" s="1">
        <v>45575</v>
      </c>
      <c r="B35" s="10">
        <f>MONTH(tbl_operations[[#This Row],[Data]])</f>
        <v>10</v>
      </c>
      <c r="C35" s="2" t="s">
        <v>12</v>
      </c>
      <c r="D35" s="2" t="s">
        <v>25</v>
      </c>
      <c r="E35" s="2" t="s">
        <v>60</v>
      </c>
      <c r="F35" s="3">
        <v>350</v>
      </c>
      <c r="G35" s="2" t="s">
        <v>19</v>
      </c>
      <c r="H35" s="2" t="s">
        <v>16</v>
      </c>
    </row>
    <row r="36" spans="1:8" ht="12" customHeight="1" x14ac:dyDescent="0.25">
      <c r="A36" s="1">
        <v>45578</v>
      </c>
      <c r="B36" s="10">
        <f>MONTH(tbl_operations[[#This Row],[Data]])</f>
        <v>10</v>
      </c>
      <c r="C36" s="2" t="s">
        <v>12</v>
      </c>
      <c r="D36" s="2" t="s">
        <v>27</v>
      </c>
      <c r="E36" s="2" t="s">
        <v>61</v>
      </c>
      <c r="F36" s="3">
        <v>400</v>
      </c>
      <c r="G36" s="2" t="s">
        <v>10</v>
      </c>
      <c r="H36" s="2" t="s">
        <v>20</v>
      </c>
    </row>
    <row r="37" spans="1:8" ht="12" customHeight="1" x14ac:dyDescent="0.25">
      <c r="A37" s="1">
        <v>45580</v>
      </c>
      <c r="B37" s="10">
        <f>MONTH(tbl_operations[[#This Row],[Data]])</f>
        <v>10</v>
      </c>
      <c r="C37" s="2" t="s">
        <v>12</v>
      </c>
      <c r="D37" s="2" t="s">
        <v>31</v>
      </c>
      <c r="E37" s="2" t="s">
        <v>62</v>
      </c>
      <c r="F37" s="3">
        <v>450</v>
      </c>
      <c r="G37" s="2" t="s">
        <v>15</v>
      </c>
      <c r="H37" s="2" t="s">
        <v>20</v>
      </c>
    </row>
    <row r="38" spans="1:8" ht="12" customHeight="1" x14ac:dyDescent="0.25">
      <c r="A38" s="1">
        <v>45583</v>
      </c>
      <c r="B38" s="10">
        <f>MONTH(tbl_operations[[#This Row],[Data]])</f>
        <v>10</v>
      </c>
      <c r="C38" s="2" t="s">
        <v>7</v>
      </c>
      <c r="D38" s="2" t="s">
        <v>63</v>
      </c>
      <c r="E38" s="2" t="s">
        <v>64</v>
      </c>
      <c r="F38" s="3">
        <v>1500</v>
      </c>
      <c r="G38" s="2" t="s">
        <v>10</v>
      </c>
      <c r="H38" s="2" t="s">
        <v>11</v>
      </c>
    </row>
    <row r="39" spans="1:8" ht="12" customHeight="1" x14ac:dyDescent="0.25">
      <c r="A39" s="1">
        <v>45583</v>
      </c>
      <c r="B39" s="10">
        <f>MONTH(tbl_operations[[#This Row],[Data]])</f>
        <v>10</v>
      </c>
      <c r="C39" s="2" t="s">
        <v>12</v>
      </c>
      <c r="D39" s="2" t="s">
        <v>33</v>
      </c>
      <c r="E39" s="2" t="s">
        <v>65</v>
      </c>
      <c r="F39" s="3">
        <v>300</v>
      </c>
      <c r="G39" s="2" t="s">
        <v>19</v>
      </c>
      <c r="H39" s="2" t="s">
        <v>16</v>
      </c>
    </row>
    <row r="40" spans="1:8" ht="12" customHeight="1" x14ac:dyDescent="0.25">
      <c r="A40" s="1">
        <v>45585</v>
      </c>
      <c r="B40" s="10">
        <f>MONTH(tbl_operations[[#This Row],[Data]])</f>
        <v>10</v>
      </c>
      <c r="C40" s="2" t="s">
        <v>12</v>
      </c>
      <c r="D40" s="2" t="s">
        <v>35</v>
      </c>
      <c r="E40" s="2" t="s">
        <v>66</v>
      </c>
      <c r="F40" s="3">
        <v>800</v>
      </c>
      <c r="G40" s="2" t="s">
        <v>10</v>
      </c>
      <c r="H40" s="2" t="s">
        <v>20</v>
      </c>
    </row>
    <row r="41" spans="1:8" ht="12" customHeight="1" x14ac:dyDescent="0.25">
      <c r="A41" s="1">
        <v>45587</v>
      </c>
      <c r="B41" s="10">
        <f>MONTH(tbl_operations[[#This Row],[Data]])</f>
        <v>10</v>
      </c>
      <c r="C41" s="2" t="s">
        <v>12</v>
      </c>
      <c r="D41" s="2" t="s">
        <v>37</v>
      </c>
      <c r="E41" s="2" t="s">
        <v>67</v>
      </c>
      <c r="F41" s="3">
        <v>250</v>
      </c>
      <c r="G41" s="2" t="s">
        <v>19</v>
      </c>
      <c r="H41" s="2" t="s">
        <v>16</v>
      </c>
    </row>
    <row r="42" spans="1:8" ht="12" customHeight="1" x14ac:dyDescent="0.25">
      <c r="A42" s="1">
        <v>45589</v>
      </c>
      <c r="B42" s="10">
        <f>MONTH(tbl_operations[[#This Row],[Data]])</f>
        <v>10</v>
      </c>
      <c r="C42" s="2" t="s">
        <v>12</v>
      </c>
      <c r="D42" s="2" t="s">
        <v>41</v>
      </c>
      <c r="E42" s="2" t="s">
        <v>68</v>
      </c>
      <c r="F42" s="3">
        <v>150</v>
      </c>
      <c r="G42" s="2" t="s">
        <v>15</v>
      </c>
      <c r="H42" s="2" t="s">
        <v>20</v>
      </c>
    </row>
    <row r="43" spans="1:8" ht="12" customHeight="1" x14ac:dyDescent="0.25">
      <c r="A43" s="1">
        <v>45591</v>
      </c>
      <c r="B43" s="10">
        <f>MONTH(tbl_operations[[#This Row],[Data]])</f>
        <v>10</v>
      </c>
      <c r="C43" s="2" t="s">
        <v>12</v>
      </c>
      <c r="D43" s="2" t="s">
        <v>39</v>
      </c>
      <c r="E43" s="2" t="s">
        <v>69</v>
      </c>
      <c r="F43" s="3">
        <v>250</v>
      </c>
      <c r="G43" s="2" t="s">
        <v>10</v>
      </c>
      <c r="H43" s="2" t="s">
        <v>16</v>
      </c>
    </row>
    <row r="44" spans="1:8" ht="12" customHeight="1" x14ac:dyDescent="0.25">
      <c r="A44" s="1">
        <v>45595</v>
      </c>
      <c r="B44" s="10">
        <f>MONTH(tbl_operations[[#This Row],[Data]])</f>
        <v>10</v>
      </c>
      <c r="C44" s="2" t="s">
        <v>12</v>
      </c>
      <c r="D44" s="2" t="s">
        <v>45</v>
      </c>
      <c r="E44" s="2" t="s">
        <v>70</v>
      </c>
      <c r="F44" s="3">
        <v>220</v>
      </c>
      <c r="G44" s="2" t="s">
        <v>10</v>
      </c>
      <c r="H44" s="2" t="s">
        <v>16</v>
      </c>
    </row>
    <row r="45" spans="1:8" ht="12" customHeight="1" x14ac:dyDescent="0.25">
      <c r="A45" s="1">
        <v>45596</v>
      </c>
      <c r="B45" s="10">
        <f>MONTH(tbl_operations[[#This Row],[Data]])</f>
        <v>10</v>
      </c>
      <c r="C45" s="2" t="s">
        <v>12</v>
      </c>
      <c r="D45" s="2" t="s">
        <v>43</v>
      </c>
      <c r="E45" s="2" t="s">
        <v>71</v>
      </c>
      <c r="F45" s="3">
        <v>500</v>
      </c>
      <c r="G45" s="2" t="s">
        <v>19</v>
      </c>
      <c r="H45" s="2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CA35-687B-44FA-A107-7A5E335E2F63}">
  <sheetPr>
    <tabColor theme="4" tint="0.59999389629810485"/>
  </sheetPr>
  <dimension ref="A1:B52"/>
  <sheetViews>
    <sheetView zoomScale="70" zoomScaleNormal="70" workbookViewId="0"/>
  </sheetViews>
  <sheetFormatPr defaultRowHeight="15" x14ac:dyDescent="0.25"/>
  <cols>
    <col min="1" max="1" width="24" bestFit="1" customWidth="1"/>
    <col min="2" max="2" width="18.28515625" style="6" bestFit="1" customWidth="1"/>
  </cols>
  <sheetData>
    <row r="1" spans="1:2" x14ac:dyDescent="0.25">
      <c r="A1" s="4" t="s">
        <v>1</v>
      </c>
      <c r="B1" s="6" t="s">
        <v>72</v>
      </c>
    </row>
    <row r="3" spans="1:2" x14ac:dyDescent="0.25">
      <c r="A3" s="4" t="s">
        <v>73</v>
      </c>
      <c r="B3" s="6" t="s">
        <v>75</v>
      </c>
    </row>
    <row r="4" spans="1:2" x14ac:dyDescent="0.25">
      <c r="A4" s="5" t="s">
        <v>13</v>
      </c>
      <c r="B4" s="6">
        <v>600</v>
      </c>
    </row>
    <row r="5" spans="1:2" x14ac:dyDescent="0.25">
      <c r="A5" s="5" t="s">
        <v>39</v>
      </c>
      <c r="B5" s="6">
        <v>250</v>
      </c>
    </row>
    <row r="6" spans="1:2" x14ac:dyDescent="0.25">
      <c r="A6" s="5" t="s">
        <v>25</v>
      </c>
      <c r="B6" s="6">
        <v>350</v>
      </c>
    </row>
    <row r="7" spans="1:2" x14ac:dyDescent="0.25">
      <c r="A7" s="5" t="s">
        <v>33</v>
      </c>
      <c r="B7" s="6">
        <v>300</v>
      </c>
    </row>
    <row r="8" spans="1:2" x14ac:dyDescent="0.25">
      <c r="A8" s="5" t="s">
        <v>45</v>
      </c>
      <c r="B8" s="6">
        <v>220</v>
      </c>
    </row>
    <row r="9" spans="1:2" x14ac:dyDescent="0.25">
      <c r="A9" s="5" t="s">
        <v>21</v>
      </c>
      <c r="B9" s="6">
        <v>180</v>
      </c>
    </row>
    <row r="10" spans="1:2" x14ac:dyDescent="0.25">
      <c r="A10" s="5" t="s">
        <v>41</v>
      </c>
      <c r="B10" s="6">
        <v>150</v>
      </c>
    </row>
    <row r="11" spans="1:2" x14ac:dyDescent="0.25">
      <c r="A11" s="5" t="s">
        <v>37</v>
      </c>
      <c r="B11" s="6">
        <v>250</v>
      </c>
    </row>
    <row r="12" spans="1:2" x14ac:dyDescent="0.25">
      <c r="A12" s="5" t="s">
        <v>8</v>
      </c>
      <c r="B12" s="6">
        <v>5000</v>
      </c>
    </row>
    <row r="13" spans="1:2" x14ac:dyDescent="0.25">
      <c r="A13" s="5" t="s">
        <v>23</v>
      </c>
      <c r="B13" s="6">
        <v>120</v>
      </c>
    </row>
    <row r="14" spans="1:2" x14ac:dyDescent="0.25">
      <c r="A14" s="5" t="s">
        <v>31</v>
      </c>
      <c r="B14" s="6">
        <v>450</v>
      </c>
    </row>
    <row r="15" spans="1:2" x14ac:dyDescent="0.25">
      <c r="A15" s="5" t="s">
        <v>17</v>
      </c>
      <c r="B15" s="6">
        <v>200</v>
      </c>
    </row>
    <row r="16" spans="1:2" x14ac:dyDescent="0.25">
      <c r="A16" s="5" t="s">
        <v>35</v>
      </c>
      <c r="B16" s="6">
        <v>800</v>
      </c>
    </row>
    <row r="17" spans="1:2" x14ac:dyDescent="0.25">
      <c r="A17" s="5" t="s">
        <v>63</v>
      </c>
      <c r="B17" s="6">
        <v>1500</v>
      </c>
    </row>
    <row r="18" spans="1:2" x14ac:dyDescent="0.25">
      <c r="A18" s="5" t="s">
        <v>27</v>
      </c>
      <c r="B18" s="6">
        <v>400</v>
      </c>
    </row>
    <row r="19" spans="1:2" x14ac:dyDescent="0.25">
      <c r="A19" s="5" t="s">
        <v>43</v>
      </c>
      <c r="B19" s="6">
        <v>500</v>
      </c>
    </row>
    <row r="20" spans="1:2" x14ac:dyDescent="0.25">
      <c r="A20" s="5" t="s">
        <v>74</v>
      </c>
      <c r="B20" s="6">
        <v>11270</v>
      </c>
    </row>
    <row r="21" spans="1:2" x14ac:dyDescent="0.25">
      <c r="B21"/>
    </row>
    <row r="22" spans="1:2" x14ac:dyDescent="0.25">
      <c r="B22"/>
    </row>
    <row r="23" spans="1:2" x14ac:dyDescent="0.25">
      <c r="B23"/>
    </row>
    <row r="24" spans="1:2" x14ac:dyDescent="0.25">
      <c r="B24"/>
    </row>
    <row r="29" spans="1:2" x14ac:dyDescent="0.25">
      <c r="A29" s="4" t="s">
        <v>1</v>
      </c>
      <c r="B29" t="s">
        <v>7</v>
      </c>
    </row>
    <row r="31" spans="1:2" x14ac:dyDescent="0.25">
      <c r="A31" s="4" t="s">
        <v>73</v>
      </c>
      <c r="B31" s="6" t="s">
        <v>75</v>
      </c>
    </row>
    <row r="32" spans="1:2" x14ac:dyDescent="0.25">
      <c r="A32" s="5" t="s">
        <v>8</v>
      </c>
      <c r="B32" s="6">
        <v>5000</v>
      </c>
    </row>
    <row r="33" spans="1:2" x14ac:dyDescent="0.25">
      <c r="A33" s="5" t="s">
        <v>63</v>
      </c>
      <c r="B33" s="6">
        <v>1500</v>
      </c>
    </row>
    <row r="34" spans="1:2" x14ac:dyDescent="0.25">
      <c r="A34" s="5" t="s">
        <v>74</v>
      </c>
      <c r="B34" s="6">
        <v>6500</v>
      </c>
    </row>
    <row r="35" spans="1:2" x14ac:dyDescent="0.25">
      <c r="B35"/>
    </row>
    <row r="36" spans="1:2" x14ac:dyDescent="0.25">
      <c r="B36"/>
    </row>
    <row r="37" spans="1:2" x14ac:dyDescent="0.25">
      <c r="B37"/>
    </row>
    <row r="38" spans="1:2" x14ac:dyDescent="0.25">
      <c r="B38"/>
    </row>
    <row r="39" spans="1:2" x14ac:dyDescent="0.25">
      <c r="B39"/>
    </row>
    <row r="40" spans="1:2" x14ac:dyDescent="0.25">
      <c r="B40"/>
    </row>
    <row r="41" spans="1:2" x14ac:dyDescent="0.25">
      <c r="B41"/>
    </row>
    <row r="42" spans="1:2" x14ac:dyDescent="0.25">
      <c r="B42"/>
    </row>
    <row r="43" spans="1:2" x14ac:dyDescent="0.25">
      <c r="B43"/>
    </row>
    <row r="44" spans="1:2" x14ac:dyDescent="0.25">
      <c r="B44"/>
    </row>
    <row r="45" spans="1:2" x14ac:dyDescent="0.25">
      <c r="B45"/>
    </row>
    <row r="46" spans="1:2" x14ac:dyDescent="0.25">
      <c r="B46"/>
    </row>
    <row r="47" spans="1:2" x14ac:dyDescent="0.25">
      <c r="B47"/>
    </row>
    <row r="48" spans="1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1693-EFFE-4DB1-BE95-692541E3CC0F}">
  <sheetPr>
    <tabColor theme="4" tint="0.59999389629810485"/>
  </sheetPr>
  <dimension ref="B1:C17"/>
  <sheetViews>
    <sheetView topLeftCell="A2" workbookViewId="0"/>
  </sheetViews>
  <sheetFormatPr defaultRowHeight="15" x14ac:dyDescent="0.25"/>
  <cols>
    <col min="2" max="2" width="16" bestFit="1" customWidth="1"/>
    <col min="3" max="3" width="18.5703125" style="6" bestFit="1" customWidth="1"/>
  </cols>
  <sheetData>
    <row r="1" spans="2:3" s="11" customFormat="1" ht="74.25" customHeight="1" x14ac:dyDescent="0.25">
      <c r="C1" s="12"/>
    </row>
    <row r="2" spans="2:3" x14ac:dyDescent="0.25">
      <c r="B2" t="s">
        <v>79</v>
      </c>
      <c r="C2" s="6">
        <f>SUM(C6:C17)</f>
        <v>3157</v>
      </c>
    </row>
    <row r="3" spans="2:3" x14ac:dyDescent="0.25">
      <c r="B3" t="s">
        <v>80</v>
      </c>
      <c r="C3" s="6">
        <v>20000</v>
      </c>
    </row>
    <row r="5" spans="2:3" x14ac:dyDescent="0.25">
      <c r="B5" t="s">
        <v>77</v>
      </c>
      <c r="C5" s="6" t="s">
        <v>78</v>
      </c>
    </row>
    <row r="6" spans="2:3" x14ac:dyDescent="0.25">
      <c r="B6" s="8">
        <v>45603</v>
      </c>
      <c r="C6" s="6">
        <v>50</v>
      </c>
    </row>
    <row r="7" spans="2:3" x14ac:dyDescent="0.25">
      <c r="B7" s="8">
        <v>45604</v>
      </c>
      <c r="C7" s="6">
        <v>298</v>
      </c>
    </row>
    <row r="8" spans="2:3" x14ac:dyDescent="0.25">
      <c r="B8" s="8">
        <v>45605</v>
      </c>
      <c r="C8" s="6">
        <v>364</v>
      </c>
    </row>
    <row r="9" spans="2:3" x14ac:dyDescent="0.25">
      <c r="B9" s="8">
        <v>45606</v>
      </c>
      <c r="C9" s="6">
        <v>138</v>
      </c>
    </row>
    <row r="10" spans="2:3" x14ac:dyDescent="0.25">
      <c r="B10" s="8">
        <v>45607</v>
      </c>
      <c r="C10" s="6">
        <v>225</v>
      </c>
    </row>
    <row r="11" spans="2:3" x14ac:dyDescent="0.25">
      <c r="B11" s="8">
        <v>45608</v>
      </c>
      <c r="C11" s="6">
        <v>405</v>
      </c>
    </row>
    <row r="12" spans="2:3" x14ac:dyDescent="0.25">
      <c r="B12" s="8">
        <v>45609</v>
      </c>
      <c r="C12" s="6">
        <v>340</v>
      </c>
    </row>
    <row r="13" spans="2:3" x14ac:dyDescent="0.25">
      <c r="B13" s="8">
        <v>45610</v>
      </c>
      <c r="C13" s="6">
        <v>390</v>
      </c>
    </row>
    <row r="14" spans="2:3" x14ac:dyDescent="0.25">
      <c r="B14" s="8">
        <v>45611</v>
      </c>
      <c r="C14" s="6">
        <v>294</v>
      </c>
    </row>
    <row r="15" spans="2:3" x14ac:dyDescent="0.25">
      <c r="B15" s="8">
        <v>45612</v>
      </c>
      <c r="C15" s="6">
        <v>225</v>
      </c>
    </row>
    <row r="16" spans="2:3" x14ac:dyDescent="0.25">
      <c r="B16" s="8">
        <v>45613</v>
      </c>
      <c r="C16" s="6">
        <v>339</v>
      </c>
    </row>
    <row r="17" spans="2:3" x14ac:dyDescent="0.25">
      <c r="B17" s="8">
        <v>45614</v>
      </c>
      <c r="C17" s="6">
        <v>89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CEF5-CB33-43EF-8460-5DACB77BD385}">
  <dimension ref="A1:U1"/>
  <sheetViews>
    <sheetView showGridLines="0" showRowColHeaders="0" tabSelected="1" zoomScale="85" zoomScaleNormal="85" workbookViewId="0">
      <selection activeCell="U24" sqref="U24"/>
    </sheetView>
  </sheetViews>
  <sheetFormatPr defaultColWidth="0" defaultRowHeight="15" x14ac:dyDescent="0.25"/>
  <cols>
    <col min="1" max="1" width="19.28515625" style="11" customWidth="1"/>
    <col min="2" max="21" width="9.140625" style="7" customWidth="1"/>
    <col min="22" max="16384" width="9.140625" hidden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Controller</vt:lpstr>
      <vt:lpstr>Caixinha</vt:lpstr>
      <vt:lpstr>Dashboard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Ferreira dos Anjos Martins</dc:creator>
  <cp:lastModifiedBy>Alessandra Ferreira dos Anjos Martins</cp:lastModifiedBy>
  <dcterms:created xsi:type="dcterms:W3CDTF">2025-01-12T19:46:25Z</dcterms:created>
  <dcterms:modified xsi:type="dcterms:W3CDTF">2025-01-13T21:36:48Z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2025-01-12T20:04:15Z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db4b508b-0f0d-4dae-a8b8-8eb4a06bd6fa</vt:lpwstr>
  </property>
  <property fmtid="{D5CDD505-2E9C-101B-9397-08002B2CF9AE}" pid="8" name="MSIP_Label_fde7aacd-7cc4-4c31-9e6f-7ef306428f09_ContentBits">
    <vt:lpwstr>1</vt:lpwstr>
  </property>
</Properties>
</file>